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Rocío\Congresos, jornadas\CAL 2023\Axel\"/>
    </mc:Choice>
  </mc:AlternateContent>
  <xr:revisionPtr revIDLastSave="0" documentId="13_ncr:1_{F8EC6625-0685-4C2D-B8EE-999FE35BA8D5}" xr6:coauthVersionLast="47" xr6:coauthVersionMax="47" xr10:uidLastSave="{00000000-0000-0000-0000-000000000000}"/>
  <bookViews>
    <workbookView xWindow="-120" yWindow="-120" windowWidth="25440" windowHeight="15390" xr2:uid="{0EE031D6-4197-480D-920F-59961C0C0263}"/>
  </bookViews>
  <sheets>
    <sheet name="datos macroplástic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4" i="1" l="1"/>
  <c r="H24" i="1"/>
  <c r="G24" i="1"/>
  <c r="F24" i="1"/>
  <c r="E24" i="1"/>
  <c r="D24" i="1"/>
  <c r="C24" i="1"/>
  <c r="B24" i="1"/>
  <c r="J23" i="1"/>
  <c r="J22" i="1"/>
  <c r="J21" i="1"/>
  <c r="J20" i="1"/>
  <c r="J19" i="1"/>
  <c r="J18" i="1"/>
  <c r="J17" i="1"/>
  <c r="J16" i="1"/>
</calcChain>
</file>

<file path=xl/sharedStrings.xml><?xml version="1.0" encoding="utf-8"?>
<sst xmlns="http://schemas.openxmlformats.org/spreadsheetml/2006/main" count="37" uniqueCount="33">
  <si>
    <t>item/m2</t>
  </si>
  <si>
    <t>Promedio</t>
  </si>
  <si>
    <t>Total</t>
  </si>
  <si>
    <t>Área (cm2)</t>
  </si>
  <si>
    <t>Peso (g)</t>
  </si>
  <si>
    <t>PET</t>
  </si>
  <si>
    <t>PEAD</t>
  </si>
  <si>
    <t>PEBD</t>
  </si>
  <si>
    <t>PVC</t>
  </si>
  <si>
    <t>PP</t>
  </si>
  <si>
    <t>PS</t>
  </si>
  <si>
    <t>PA</t>
  </si>
  <si>
    <t>SI</t>
  </si>
  <si>
    <t>VL</t>
  </si>
  <si>
    <t>CA</t>
  </si>
  <si>
    <t>BE</t>
  </si>
  <si>
    <t>QUI</t>
  </si>
  <si>
    <t>BER</t>
  </si>
  <si>
    <t>ENS</t>
  </si>
  <si>
    <t>BERI</t>
  </si>
  <si>
    <t>Sitios</t>
  </si>
  <si>
    <t>San Isidro (SI)</t>
  </si>
  <si>
    <t>Vicente López (VL)</t>
  </si>
  <si>
    <t>CABA (CA)</t>
  </si>
  <si>
    <t>Bernal (BE)</t>
  </si>
  <si>
    <t>Quilmes (QUI)</t>
  </si>
  <si>
    <t>Berazategui (BER)</t>
  </si>
  <si>
    <t>Punta Lara (PL)</t>
  </si>
  <si>
    <t>Berisso (BERI)</t>
  </si>
  <si>
    <t>Latitud</t>
  </si>
  <si>
    <t>Longitud</t>
  </si>
  <si>
    <t>Abundancia</t>
  </si>
  <si>
    <t>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</si>
</sst>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wrapTex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5B31D-CE08-4C31-80D6-2A40C5664044}">
  <dimension ref="A1:J24"/>
  <sheetViews>
    <sheetView tabSelected="1" workbookViewId="0">
      <selection activeCell="I16" sqref="I16"/>
    </sheetView>
  </sheetViews>
  <sheetFormatPr baseColWidth="10" defaultRowHeight="15" x14ac:dyDescent="0.25"/>
  <cols>
    <col min="1" max="1" width="19.85546875" customWidth="1"/>
    <col min="2" max="2" width="13.28515625" customWidth="1"/>
    <col min="3" max="3" width="11.140625" customWidth="1"/>
    <col min="4" max="4" width="12.28515625" customWidth="1"/>
  </cols>
  <sheetData>
    <row r="1" spans="1:10" x14ac:dyDescent="0.25">
      <c r="D1" t="s">
        <v>31</v>
      </c>
      <c r="E1" t="s">
        <v>4</v>
      </c>
      <c r="F1" t="s">
        <v>3</v>
      </c>
    </row>
    <row r="2" spans="1:10" x14ac:dyDescent="0.25">
      <c r="A2" s="2" t="s">
        <v>20</v>
      </c>
      <c r="B2" t="s">
        <v>29</v>
      </c>
      <c r="C2" t="s">
        <v>30</v>
      </c>
      <c r="D2" t="s">
        <v>0</v>
      </c>
      <c r="E2" t="s">
        <v>2</v>
      </c>
      <c r="F2" t="s">
        <v>2</v>
      </c>
    </row>
    <row r="3" spans="1:10" x14ac:dyDescent="0.25">
      <c r="A3" s="2" t="s">
        <v>21</v>
      </c>
      <c r="B3" s="6">
        <v>-34.468046999999999</v>
      </c>
      <c r="C3" s="6">
        <v>-58.497127999999996</v>
      </c>
      <c r="D3">
        <v>0.20799999999999999</v>
      </c>
      <c r="E3">
        <v>73.5</v>
      </c>
      <c r="F3">
        <v>5913.2529999999997</v>
      </c>
    </row>
    <row r="4" spans="1:10" x14ac:dyDescent="0.25">
      <c r="A4" s="2" t="s">
        <v>22</v>
      </c>
      <c r="B4" s="6">
        <v>-34.518641000000002</v>
      </c>
      <c r="C4" s="6">
        <v>-58.469588999999999</v>
      </c>
      <c r="D4">
        <v>4.8000000000000001E-2</v>
      </c>
      <c r="E4">
        <v>73.896000000000001</v>
      </c>
      <c r="F4">
        <v>4456.2349999999997</v>
      </c>
    </row>
    <row r="5" spans="1:10" x14ac:dyDescent="0.25">
      <c r="A5" s="2" t="s">
        <v>23</v>
      </c>
      <c r="B5" s="6">
        <v>-34.606082000000001</v>
      </c>
      <c r="C5" s="6">
        <v>-58.346046000000001</v>
      </c>
      <c r="D5">
        <v>0.14000000000000001</v>
      </c>
      <c r="E5">
        <v>388.76200000000006</v>
      </c>
      <c r="F5">
        <v>5449.4220000000005</v>
      </c>
    </row>
    <row r="6" spans="1:10" x14ac:dyDescent="0.25">
      <c r="A6" s="2" t="s">
        <v>24</v>
      </c>
      <c r="B6" s="6">
        <v>-34.692024000000004</v>
      </c>
      <c r="C6" s="6">
        <v>-58.254477999999999</v>
      </c>
      <c r="D6">
        <v>9.1999999999999998E-2</v>
      </c>
      <c r="E6">
        <v>576.005</v>
      </c>
      <c r="F6">
        <v>7907.2950000000001</v>
      </c>
    </row>
    <row r="7" spans="1:10" x14ac:dyDescent="0.25">
      <c r="A7" s="2" t="s">
        <v>25</v>
      </c>
      <c r="B7" s="6">
        <v>-34.708359999999999</v>
      </c>
      <c r="C7" s="6">
        <v>-58.223140000000001</v>
      </c>
      <c r="D7">
        <v>0.25600000000000001</v>
      </c>
      <c r="E7">
        <v>113.48200000000001</v>
      </c>
      <c r="F7">
        <v>18568.624000000003</v>
      </c>
    </row>
    <row r="8" spans="1:10" x14ac:dyDescent="0.25">
      <c r="A8" s="2" t="s">
        <v>26</v>
      </c>
      <c r="B8" s="6">
        <v>-34.745069999999998</v>
      </c>
      <c r="C8" s="6">
        <v>-58.17595</v>
      </c>
      <c r="D8">
        <v>0.17599999999999999</v>
      </c>
      <c r="E8">
        <v>106.67799999999997</v>
      </c>
      <c r="F8">
        <v>5890.7619999999979</v>
      </c>
    </row>
    <row r="9" spans="1:10" x14ac:dyDescent="0.25">
      <c r="A9" s="2" t="s">
        <v>27</v>
      </c>
      <c r="B9" s="6">
        <v>-34.782941999999998</v>
      </c>
      <c r="C9" s="6">
        <v>-58.009872999999999</v>
      </c>
      <c r="D9">
        <v>0.2</v>
      </c>
      <c r="E9">
        <v>350.97</v>
      </c>
      <c r="F9">
        <v>10965.343000000001</v>
      </c>
    </row>
    <row r="10" spans="1:10" x14ac:dyDescent="0.25">
      <c r="A10" s="2" t="s">
        <v>28</v>
      </c>
      <c r="B10" s="6">
        <v>-34.873446000000001</v>
      </c>
      <c r="C10" s="6">
        <v>-57.810558</v>
      </c>
      <c r="D10">
        <v>7.5999999999999998E-2</v>
      </c>
      <c r="E10">
        <v>196.48699999999999</v>
      </c>
      <c r="F10">
        <v>5949.1139999999987</v>
      </c>
    </row>
    <row r="11" spans="1:10" x14ac:dyDescent="0.25">
      <c r="A11" s="2" t="s">
        <v>1</v>
      </c>
      <c r="B11" s="2"/>
      <c r="C11" s="2"/>
      <c r="D11">
        <v>0.14949999999999999</v>
      </c>
      <c r="E11">
        <v>1879.78</v>
      </c>
    </row>
    <row r="15" spans="1:10" x14ac:dyDescent="0.25">
      <c r="A15" s="1" t="s">
        <v>20</v>
      </c>
      <c r="B15" s="2" t="s">
        <v>5</v>
      </c>
      <c r="C15" s="2" t="s">
        <v>6</v>
      </c>
      <c r="D15" s="2" t="s">
        <v>7</v>
      </c>
      <c r="E15" s="2" t="s">
        <v>8</v>
      </c>
      <c r="F15" s="2" t="s">
        <v>9</v>
      </c>
      <c r="G15" s="2" t="s">
        <v>10</v>
      </c>
      <c r="H15" s="2" t="s">
        <v>11</v>
      </c>
      <c r="I15" s="2" t="s">
        <v>32</v>
      </c>
      <c r="J15" s="2" t="s">
        <v>2</v>
      </c>
    </row>
    <row r="16" spans="1:10" x14ac:dyDescent="0.25">
      <c r="A16" s="3" t="s">
        <v>12</v>
      </c>
      <c r="B16">
        <v>3</v>
      </c>
      <c r="C16">
        <v>11</v>
      </c>
      <c r="D16">
        <v>0</v>
      </c>
      <c r="E16">
        <v>1</v>
      </c>
      <c r="F16">
        <v>26</v>
      </c>
      <c r="G16">
        <v>6</v>
      </c>
      <c r="H16">
        <v>0</v>
      </c>
      <c r="I16">
        <v>5</v>
      </c>
      <c r="J16">
        <f>SUM(B16:I16)</f>
        <v>52</v>
      </c>
    </row>
    <row r="17" spans="1:10" x14ac:dyDescent="0.25">
      <c r="A17" s="4" t="s">
        <v>13</v>
      </c>
      <c r="B17">
        <v>1</v>
      </c>
      <c r="C17">
        <v>3</v>
      </c>
      <c r="D17">
        <v>1</v>
      </c>
      <c r="E17">
        <v>0</v>
      </c>
      <c r="F17">
        <v>7</v>
      </c>
      <c r="G17">
        <v>0</v>
      </c>
      <c r="H17">
        <v>0</v>
      </c>
      <c r="I17">
        <v>0</v>
      </c>
      <c r="J17">
        <f t="shared" ref="J17:J23" si="0">SUM(B17:I17)</f>
        <v>12</v>
      </c>
    </row>
    <row r="18" spans="1:10" x14ac:dyDescent="0.25">
      <c r="A18" s="3" t="s">
        <v>14</v>
      </c>
      <c r="B18">
        <v>11</v>
      </c>
      <c r="C18">
        <v>3</v>
      </c>
      <c r="D18">
        <v>1</v>
      </c>
      <c r="E18">
        <v>1</v>
      </c>
      <c r="F18">
        <v>9</v>
      </c>
      <c r="G18">
        <v>7</v>
      </c>
      <c r="H18">
        <v>0</v>
      </c>
      <c r="I18">
        <v>3</v>
      </c>
      <c r="J18">
        <f t="shared" si="0"/>
        <v>35</v>
      </c>
    </row>
    <row r="19" spans="1:10" x14ac:dyDescent="0.25">
      <c r="A19" s="3" t="s">
        <v>15</v>
      </c>
      <c r="B19">
        <v>7</v>
      </c>
      <c r="C19">
        <v>9</v>
      </c>
      <c r="D19">
        <v>2</v>
      </c>
      <c r="E19">
        <v>0</v>
      </c>
      <c r="F19">
        <v>5</v>
      </c>
      <c r="G19">
        <v>0</v>
      </c>
      <c r="H19">
        <v>0</v>
      </c>
      <c r="I19">
        <v>0</v>
      </c>
      <c r="J19">
        <f t="shared" si="0"/>
        <v>23</v>
      </c>
    </row>
    <row r="20" spans="1:10" x14ac:dyDescent="0.25">
      <c r="A20" s="4" t="s">
        <v>16</v>
      </c>
      <c r="B20">
        <v>0</v>
      </c>
      <c r="C20">
        <v>25</v>
      </c>
      <c r="D20">
        <v>0</v>
      </c>
      <c r="E20">
        <v>1</v>
      </c>
      <c r="F20">
        <v>32</v>
      </c>
      <c r="G20">
        <v>2</v>
      </c>
      <c r="H20">
        <v>1</v>
      </c>
      <c r="I20">
        <v>3</v>
      </c>
      <c r="J20">
        <f t="shared" si="0"/>
        <v>64</v>
      </c>
    </row>
    <row r="21" spans="1:10" x14ac:dyDescent="0.25">
      <c r="A21" s="3" t="s">
        <v>17</v>
      </c>
      <c r="B21">
        <v>1</v>
      </c>
      <c r="C21">
        <v>6</v>
      </c>
      <c r="D21">
        <v>0</v>
      </c>
      <c r="E21">
        <v>0</v>
      </c>
      <c r="F21">
        <v>31</v>
      </c>
      <c r="G21">
        <v>1</v>
      </c>
      <c r="H21">
        <v>0</v>
      </c>
      <c r="I21">
        <v>5</v>
      </c>
      <c r="J21">
        <f t="shared" si="0"/>
        <v>44</v>
      </c>
    </row>
    <row r="22" spans="1:10" x14ac:dyDescent="0.25">
      <c r="A22" s="5" t="s">
        <v>18</v>
      </c>
      <c r="B22">
        <v>2</v>
      </c>
      <c r="C22">
        <v>7</v>
      </c>
      <c r="D22">
        <v>2</v>
      </c>
      <c r="E22">
        <v>0</v>
      </c>
      <c r="F22">
        <v>36</v>
      </c>
      <c r="G22">
        <v>0</v>
      </c>
      <c r="H22">
        <v>0</v>
      </c>
      <c r="I22">
        <v>3</v>
      </c>
      <c r="J22">
        <f t="shared" si="0"/>
        <v>50</v>
      </c>
    </row>
    <row r="23" spans="1:10" x14ac:dyDescent="0.25">
      <c r="A23" s="4" t="s">
        <v>19</v>
      </c>
      <c r="B23">
        <v>3</v>
      </c>
      <c r="C23">
        <v>3</v>
      </c>
      <c r="D23">
        <v>2</v>
      </c>
      <c r="E23">
        <v>0</v>
      </c>
      <c r="F23">
        <v>11</v>
      </c>
      <c r="G23">
        <v>0</v>
      </c>
      <c r="H23">
        <v>0</v>
      </c>
      <c r="I23">
        <v>0</v>
      </c>
      <c r="J23">
        <f t="shared" si="0"/>
        <v>19</v>
      </c>
    </row>
    <row r="24" spans="1:10" x14ac:dyDescent="0.25">
      <c r="A24" s="2" t="s">
        <v>2</v>
      </c>
      <c r="B24">
        <f>SUM(B16:B23)</f>
        <v>28</v>
      </c>
      <c r="C24">
        <f t="shared" ref="C24:I24" si="1">SUM(C16:C23)</f>
        <v>67</v>
      </c>
      <c r="D24">
        <f t="shared" si="1"/>
        <v>8</v>
      </c>
      <c r="E24">
        <f t="shared" si="1"/>
        <v>3</v>
      </c>
      <c r="F24">
        <f t="shared" si="1"/>
        <v>157</v>
      </c>
      <c r="G24">
        <f t="shared" si="1"/>
        <v>16</v>
      </c>
      <c r="H24">
        <f t="shared" si="1"/>
        <v>1</v>
      </c>
      <c r="I24">
        <f t="shared" si="1"/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 macroplásticos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Laboratorio Plancton PC2</dc:creator>
  <cp:lastModifiedBy>Laboratorio Plancton PC2</cp:lastModifiedBy>
  <dcterms:created xsi:type="dcterms:W3CDTF">2026-04-27T13:39:07Z</dcterms:created>
  <dcterms:modified xsi:type="dcterms:W3CDTF">2026-04-27T14:59:32Z</dcterms:modified>
</cp:coreProperties>
</file>